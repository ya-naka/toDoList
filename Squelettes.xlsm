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amp64\www\ProjetTuteure\"/>
    </mc:Choice>
  </mc:AlternateContent>
  <xr:revisionPtr revIDLastSave="0" documentId="13_ncr:1_{DCC5E387-3656-47AC-A8A4-09F977786ED3}" xr6:coauthVersionLast="46" xr6:coauthVersionMax="46" xr10:uidLastSave="{00000000-0000-0000-0000-000000000000}"/>
  <bookViews>
    <workbookView xWindow="-120" yWindow="-120" windowWidth="29040" windowHeight="15990" activeTab="2" xr2:uid="{0C600639-A732-455D-967F-27720C2C0095}"/>
  </bookViews>
  <sheets>
    <sheet name="Fonctions &amp; Procédures" sheetId="2" r:id="rId1"/>
    <sheet name="Fonctions &amp; Procédures Tests" sheetId="3" r:id="rId2"/>
    <sheet name="SCRIPTS" sheetId="4" r:id="rId3"/>
  </sheets>
  <definedNames>
    <definedName name="_xlnm._FilterDatabase" localSheetId="0" hidden="1">'Fonctions &amp; Procédures'!$A$1:$L$20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6" i="4" l="1"/>
  <c r="L32" i="3"/>
  <c r="L32" i="2"/>
  <c r="A35" i="4"/>
  <c r="L31" i="3"/>
  <c r="L30" i="3"/>
  <c r="L31" i="2"/>
  <c r="L30" i="2"/>
  <c r="A34" i="4"/>
  <c r="L26" i="2"/>
  <c r="L29" i="3"/>
  <c r="L28" i="3"/>
  <c r="L27" i="3"/>
  <c r="F23" i="3"/>
  <c r="A23" i="4"/>
  <c r="A24" i="4"/>
  <c r="A25" i="4"/>
  <c r="A26" i="4"/>
  <c r="A27" i="4"/>
  <c r="A28" i="4"/>
  <c r="A29" i="4"/>
  <c r="A30" i="4"/>
  <c r="A31" i="4"/>
  <c r="A32" i="4"/>
  <c r="A33" i="4"/>
  <c r="A2" i="4"/>
  <c r="A3" i="4"/>
  <c r="A4" i="4"/>
  <c r="A5" i="4"/>
  <c r="A6" i="4"/>
  <c r="A7" i="4"/>
  <c r="A8" i="4"/>
  <c r="A9" i="4"/>
  <c r="A10" i="4"/>
  <c r="A11" i="4"/>
  <c r="A12" i="4"/>
  <c r="A13" i="4"/>
  <c r="A14" i="4"/>
  <c r="A15" i="4"/>
  <c r="A16" i="4"/>
  <c r="A17" i="4"/>
  <c r="A18" i="4"/>
  <c r="A19" i="4"/>
  <c r="A20" i="4"/>
  <c r="A21" i="4"/>
  <c r="A22" i="4"/>
  <c r="A1" i="4"/>
  <c r="L12" i="2"/>
  <c r="L20" i="2"/>
  <c r="L8" i="2"/>
  <c r="L2" i="2"/>
  <c r="L8" i="3"/>
  <c r="L2" i="3"/>
  <c r="J4" i="3"/>
  <c r="L20" i="3"/>
  <c r="L12" i="3"/>
  <c r="L13" i="3" s="1"/>
  <c r="L10" i="3" s="1"/>
  <c r="L4" i="3" l="1"/>
  <c r="L26" i="3"/>
  <c r="L9" i="3"/>
  <c r="L11" i="3"/>
  <c r="L3" i="3"/>
  <c r="L9" i="2"/>
  <c r="L19" i="3"/>
  <c r="L16" i="3"/>
  <c r="L14" i="3"/>
  <c r="L23" i="3" s="1"/>
  <c r="L21" i="3" l="1"/>
  <c r="L22" i="3"/>
  <c r="L5" i="3"/>
  <c r="L6" i="3"/>
  <c r="L18" i="3"/>
  <c r="L17" i="3"/>
  <c r="L15" i="3"/>
  <c r="L25" i="3" s="1"/>
  <c r="L7" i="3" l="1"/>
  <c r="L24" i="3"/>
  <c r="L13" i="2"/>
  <c r="L19" i="2" l="1"/>
  <c r="L27" i="2"/>
  <c r="L10" i="2"/>
  <c r="L11" i="2"/>
  <c r="L16" i="2"/>
  <c r="L4" i="2"/>
  <c r="L14" i="2"/>
  <c r="L3" i="2"/>
  <c r="L21" i="2" l="1"/>
  <c r="L23" i="2"/>
  <c r="L28" i="2"/>
  <c r="L22" i="2"/>
  <c r="L5" i="2"/>
  <c r="L17" i="2"/>
  <c r="L15" i="2"/>
  <c r="L18" i="2"/>
  <c r="L6" i="2"/>
  <c r="L7" i="2" l="1"/>
  <c r="L24" i="2"/>
  <c r="L25" i="2"/>
  <c r="L29" i="2"/>
</calcChain>
</file>

<file path=xl/sharedStrings.xml><?xml version="1.0" encoding="utf-8"?>
<sst xmlns="http://schemas.openxmlformats.org/spreadsheetml/2006/main" count="460" uniqueCount="122">
  <si>
    <t>InsertUser</t>
  </si>
  <si>
    <t>InsertList</t>
  </si>
  <si>
    <t>InsertTask</t>
  </si>
  <si>
    <t>InsertStep</t>
  </si>
  <si>
    <t>SetCheckTask</t>
  </si>
  <si>
    <t>Fonctions/Procédures</t>
  </si>
  <si>
    <t>Paramètre 1</t>
  </si>
  <si>
    <t>Paramètre 2</t>
  </si>
  <si>
    <t>Paramètre 3</t>
  </si>
  <si>
    <t>Paramètre 4</t>
  </si>
  <si>
    <t>PValue</t>
  </si>
  <si>
    <t>PIdTask</t>
  </si>
  <si>
    <t>PEmail</t>
  </si>
  <si>
    <t>PPassword</t>
  </si>
  <si>
    <t>PUserId</t>
  </si>
  <si>
    <t>PTitle</t>
  </si>
  <si>
    <t>PDescription</t>
  </si>
  <si>
    <t>PListId</t>
  </si>
  <si>
    <t>PDeadline</t>
  </si>
  <si>
    <t>PTaskId</t>
  </si>
  <si>
    <t>SetCheckStep</t>
  </si>
  <si>
    <t>PIdStep</t>
  </si>
  <si>
    <t>SetEmail</t>
  </si>
  <si>
    <t>PEmailOld</t>
  </si>
  <si>
    <t>PEmailNew</t>
  </si>
  <si>
    <t>SetPassword</t>
  </si>
  <si>
    <t>PPwdNew</t>
  </si>
  <si>
    <t>setTitleList</t>
  </si>
  <si>
    <t>PIdUser</t>
  </si>
  <si>
    <t>PIdList</t>
  </si>
  <si>
    <t>setDescriptionList</t>
  </si>
  <si>
    <t>getUserId</t>
  </si>
  <si>
    <t>getListId</t>
  </si>
  <si>
    <t>getTaskId</t>
  </si>
  <si>
    <t>getStepId</t>
  </si>
  <si>
    <t>getNbOfTask</t>
  </si>
  <si>
    <t>getNbOfStep</t>
  </si>
  <si>
    <t>getNbOfStepValid</t>
  </si>
  <si>
    <t>getDateOfList</t>
  </si>
  <si>
    <t>getPassword</t>
  </si>
  <si>
    <t>PTitleStep</t>
  </si>
  <si>
    <t>Type</t>
  </si>
  <si>
    <t>V</t>
  </si>
  <si>
    <t>I</t>
  </si>
  <si>
    <t>D</t>
  </si>
  <si>
    <t>test1@test.fr</t>
  </si>
  <si>
    <t>Liste1</t>
  </si>
  <si>
    <t>Tache1</t>
  </si>
  <si>
    <t>Tache4</t>
  </si>
  <si>
    <t>tache4</t>
  </si>
  <si>
    <t>Step1</t>
  </si>
  <si>
    <t>CALL InsertStep(getTaskId(getListId(getUserId('test1@test.fr'),'Liste1'),'Tache1'),'Step2','Step2');</t>
  </si>
  <si>
    <t>CALL InsertStep(getTaskId(getListId(getUserId('test1@test.fr'),'Liste1'),'Tache1'),'Step3','Step3');</t>
  </si>
  <si>
    <t>Step4</t>
  </si>
  <si>
    <t>CALL InsertStep(getTaskId(getListId(getUserId('test1@test.fr'),'Liste1'),'Tache1'),'Step4','Step4');</t>
  </si>
  <si>
    <t>CALL SetCheckTask(getTaskId(getListId(getUserId('test1@test.fr'),'Liste1'),'Tache1'),1);</t>
  </si>
  <si>
    <t>CALL SetCheckStep(getStepId(getTaskId(getListId(getUserId('test1@test.fr'),'Liste1'),'Tache1'),'Step1'),1);</t>
  </si>
  <si>
    <t>CALL SetCheckTask(getTaskId(getListId(getUserId('test1@test.fr'),'Liste1'),'Tache1'),0);</t>
  </si>
  <si>
    <t>CALL SetCheckStep(getStepId(getTaskId(getListId(getUserId('test1@test.fr'),'Liste1'),'Tache1'),'Step1'),0);</t>
  </si>
  <si>
    <t>test1bis@test.fr</t>
  </si>
  <si>
    <t>CALL SetEmail('test1bis@test.fr','test1@test.fr');</t>
  </si>
  <si>
    <t>CALL setTitleList(getUserId('test1@test.fr'),getListId(getUserId('test1@test.fr'),'Liste1'),'Nouveau Titre');</t>
  </si>
  <si>
    <t>CALL setTitleList(getUserId('test1@test.fr'),getListId(getUserId('test1@test.fr'),'Nouveau Titre'),'Liste1');</t>
  </si>
  <si>
    <t>qrzgsergsergsergsergsergsdfgserfgszergwdfvsergsergvwdsfvsergsergsdfvserg</t>
  </si>
  <si>
    <t>LIST</t>
  </si>
  <si>
    <t>TASK</t>
  </si>
  <si>
    <t>STEP</t>
  </si>
  <si>
    <t>USERS</t>
  </si>
  <si>
    <t>INSERT</t>
  </si>
  <si>
    <t>SETTER</t>
  </si>
  <si>
    <t>GETTER</t>
  </si>
  <si>
    <t>TYPE</t>
  </si>
  <si>
    <t>TABLES</t>
  </si>
  <si>
    <t>SQL</t>
  </si>
  <si>
    <t>PTitleNew</t>
  </si>
  <si>
    <t>setTitleTask</t>
  </si>
  <si>
    <t>New</t>
  </si>
  <si>
    <t>CALL setTitleTask(getTaskId(getListId(getUserId('test1@test.fr'),'Liste1'),'New'),'Tache1');</t>
  </si>
  <si>
    <t>setDescriptionTask</t>
  </si>
  <si>
    <t>iuzqefohzefoqhuzefh qzoeuhfqohzefoqhze flijhqze foqh zefouqhzeh qelhqozefhqzehf qozeh qoehz ze f</t>
  </si>
  <si>
    <t>CALL setDescriptionTask(getTaskId(getListId(getUserId('test1@test.fr'),'Liste1'),'Tache1'),'iuzqefohzefoqhuzefh qzoeuhfqohzefoqhze flijhqze foqh zefouqhzeh qelhqozefhqzehf qozeh qoehz ze f');</t>
  </si>
  <si>
    <t>setDeadlineTask</t>
  </si>
  <si>
    <t>PNewDate</t>
  </si>
  <si>
    <t>CALL setDeadlineTask(getTaskId(getListId(getUserId('test1@test.fr'),'Liste1'),'Tache1'),'2021-04-19');</t>
  </si>
  <si>
    <t>setTitleStep</t>
  </si>
  <si>
    <t>setDescriptionStep</t>
  </si>
  <si>
    <t>CALL setTitleStep(getStepId(getTaskId(getListId(getUserId('test1@test.fr'),'Liste1'),'Tache1'),'Step1'),'NEw');</t>
  </si>
  <si>
    <t>CALL setTitleStep(getStepId(getTaskId(getListId(getUserId('test1@test.fr'),'Liste1'),'Tache1'),'NEw'),'Step1');</t>
  </si>
  <si>
    <t>ZEOFHJQOLZERHFBQSLIZEH FQLEZQEHZF OHFK?W S ORGFMQOZ EFOQZEF DJQZEFMO JQZEMOFKJ QZOEFJQMOZEF QZEF QZEFOQEMN JLQKNDQNOQEZFOIHEZJFOQHEFQE FMOQJEZF OQEZJFOQIZ QE OQJ EZFOIJQ LOJQL KJEJJNE  QNE FOMQEZ  QNE F</t>
  </si>
  <si>
    <t>CALL setDescriptionStep(getStepId(getTaskId(getListId(getUserId('test1@test.fr'),'Liste1'),'Tache1'),'Step1'),'ZEOFHJQOLZERHFBQSLIZEH FQLEZQEHZF OHFK?W S ORGFMQOZ EFOQZEF DJQZEFMO JQZEMOFKJ QZOEFJQMOZEF QZEF QZEFOQEMN JLQKNDQNOQEZFOIHEZJFOQHEFQE FMOQJEZF OQEZJFOQIZ QE OQJ EZFOIJQ LOJQL KJEJJNE  QNE FOMQEZ  QNE F');</t>
  </si>
  <si>
    <t>DELETE</t>
  </si>
  <si>
    <t>deleteUser</t>
  </si>
  <si>
    <t>CALL deleteUser(getUserId('test1@test.fr'));</t>
  </si>
  <si>
    <t>srfbsretgsergserg</t>
  </si>
  <si>
    <t>ftyjh</t>
  </si>
  <si>
    <t>CALL InsertTask(getListId(getUserId('test1@test.fr'),'Liste1'),'Tache1','tache1','2021-04-16');</t>
  </si>
  <si>
    <t>CALL InsertTask(getListId(getUserId('test1@test.fr'),'Liste1'),'Tache2','tache2','2021-04-16');</t>
  </si>
  <si>
    <t>CALL InsertTask(getListId(getUserId('test1@test.fr'),'Liste1'),'Tache3','tache3','2021-04-16');</t>
  </si>
  <si>
    <t>CALL InsertTask(getListId(getUserId('test1@test.fr'),'Liste1'),'Tache4','tache4','2021-04-16');</t>
  </si>
  <si>
    <t>CALL InsertStep(getTaskId(getListId(getUserId('test1@test.fr'),'Liste1'),'Tache1'),'Step1','Step1');</t>
  </si>
  <si>
    <t>CALL SetEmail('test1@test.fr','test1bis@test.fr');</t>
  </si>
  <si>
    <t>getNbOfTask(getListId(getUserId('test1@test.fr'),'Liste1'));</t>
  </si>
  <si>
    <t>getNbOfStepValid(getTaskId(getListId(getUserId('test1@test.fr'),'Liste1'),'Tache1'));</t>
  </si>
  <si>
    <t>getDateOfList(getListId(getUserId('test1@test.fr'),'Liste1'));</t>
  </si>
  <si>
    <t>getPassword('test1@test.fr');</t>
  </si>
  <si>
    <t>CALL setTitleTask(getTaskId(getListId(getUserId('test1@test.fr'),'Liste1'),'Tache1'),'New');</t>
  </si>
  <si>
    <t>deleteList</t>
  </si>
  <si>
    <t>deleteTask</t>
  </si>
  <si>
    <t>deleteStep</t>
  </si>
  <si>
    <t>CALL deleteList(getListId(getUserId('test1@test.fr'),'Liste1'))</t>
  </si>
  <si>
    <t>CALL deleteTask(getTaskId(getListId(getUserId('test1@test.fr'),'Liste1'),'Tache1'));</t>
  </si>
  <si>
    <t>CALL deleteStep(getStepId(getTaskId(getListId(getUserId('test1@test.fr'),'Liste1'),'Tache1'),'Step1'));</t>
  </si>
  <si>
    <t>getUserLists</t>
  </si>
  <si>
    <t>SELECT getUserLists(getUserId('test1@test.fr'));</t>
  </si>
  <si>
    <t>CALL setDescriptionList(getUserId('test1@test.fr'),getListId(getUserId('test1@test.fr'),'Liste1'),'ma description');</t>
  </si>
  <si>
    <t>CALL InsertList(getUserId('test1@test.fr'),'Liste2','');</t>
  </si>
  <si>
    <t>getListTasks</t>
  </si>
  <si>
    <t>PTitleList</t>
  </si>
  <si>
    <t>PTitleTask</t>
  </si>
  <si>
    <t>SELECT getListTasks(getListId(getUserId('test1@test.fr'),'Liste1'));</t>
  </si>
  <si>
    <t>getTaskSteps</t>
  </si>
  <si>
    <t>SELECT getTaskSteps(getTaskId(getListId(getUserId('test1@test.fr'),'Liste1'),'Tache1'));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</si>
</sst>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0" fontId="2" fillId="0" borderId="0" xfId="1"/>
    <xf numFmtId="0" fontId="2" fillId="0" borderId="0" xfId="1" applyFill="1"/>
    <xf numFmtId="14" fontId="0" fillId="0" borderId="0" xfId="0" applyNumberFormat="1"/>
    <xf numFmtId="0" fontId="0" fillId="0" borderId="0" xfId="0" applyFill="1"/>
    <xf numFmtId="0" fontId="0" fillId="0" borderId="0" xfId="0" applyProtection="1">
      <protection hidden="1"/>
    </xf>
  </cellXfs>
  <cellStyles count="2">
    <cellStyle name="Lien hypertexte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mailto:test1@test.fr" TargetMode="External"/><Relationship Id="rId2" Type="http://schemas.openxmlformats.org/officeDocument/2006/relationships/hyperlink" Target="mailto:test1@test.fr" TargetMode="External"/><Relationship Id="rId1" Type="http://schemas.openxmlformats.org/officeDocument/2006/relationships/hyperlink" Target="mailto:test1@test.fr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5905DD-78A2-493B-9D12-2BA4A16395B0}">
  <sheetPr codeName="Feuil2"/>
  <dimension ref="A1:L32"/>
  <sheetViews>
    <sheetView workbookViewId="0">
      <selection activeCell="D38" sqref="D38"/>
    </sheetView>
  </sheetViews>
  <sheetFormatPr baseColWidth="10" defaultRowHeight="15" x14ac:dyDescent="0.25"/>
  <cols>
    <col min="1" max="1" width="7.42578125" style="5" bestFit="1" customWidth="1"/>
    <col min="2" max="2" width="9.5703125" style="5" bestFit="1" customWidth="1"/>
    <col min="3" max="3" width="22.85546875" style="5" bestFit="1" customWidth="1"/>
    <col min="4" max="4" width="14" style="5" bestFit="1" customWidth="1"/>
    <col min="5" max="5" width="7.5703125" style="5" bestFit="1" customWidth="1"/>
    <col min="6" max="6" width="14" style="5" bestFit="1" customWidth="1"/>
    <col min="7" max="7" width="7.5703125" style="5" bestFit="1" customWidth="1"/>
    <col min="8" max="8" width="14" style="5" bestFit="1" customWidth="1"/>
    <col min="9" max="9" width="7.5703125" style="5" bestFit="1" customWidth="1"/>
    <col min="10" max="10" width="14" style="5" bestFit="1" customWidth="1"/>
    <col min="11" max="11" width="7.5703125" style="5" bestFit="1" customWidth="1"/>
    <col min="12" max="12" width="105.42578125" style="5" bestFit="1" customWidth="1"/>
    <col min="13" max="16384" width="11.42578125" style="5"/>
  </cols>
  <sheetData>
    <row r="1" spans="1:12" x14ac:dyDescent="0.25">
      <c r="A1" s="5" t="s">
        <v>71</v>
      </c>
      <c r="B1" s="5" t="s">
        <v>72</v>
      </c>
      <c r="C1" s="5" t="s">
        <v>5</v>
      </c>
      <c r="D1" s="5" t="s">
        <v>6</v>
      </c>
      <c r="E1" s="5" t="s">
        <v>41</v>
      </c>
      <c r="F1" s="5" t="s">
        <v>7</v>
      </c>
      <c r="G1" s="5" t="s">
        <v>41</v>
      </c>
      <c r="H1" s="5" t="s">
        <v>8</v>
      </c>
      <c r="I1" s="5" t="s">
        <v>41</v>
      </c>
      <c r="J1" s="5" t="s">
        <v>9</v>
      </c>
      <c r="K1" s="5" t="s">
        <v>41</v>
      </c>
      <c r="L1" s="5" t="s">
        <v>73</v>
      </c>
    </row>
    <row r="2" spans="1:12" x14ac:dyDescent="0.25">
      <c r="A2" s="5" t="s">
        <v>68</v>
      </c>
      <c r="B2" s="5" t="s">
        <v>67</v>
      </c>
      <c r="C2" s="5" t="s">
        <v>0</v>
      </c>
      <c r="D2" s="5" t="s">
        <v>12</v>
      </c>
      <c r="E2" s="5" t="s">
        <v>42</v>
      </c>
      <c r="F2" s="5" t="s">
        <v>13</v>
      </c>
      <c r="G2" s="5" t="s">
        <v>42</v>
      </c>
      <c r="L2" s="5" t="str">
        <f>"CALL " &amp;C2&amp;"("&amp;"'"&amp;D2&amp;"'"&amp;","&amp;"'"&amp;F2&amp;"'"&amp;");"</f>
        <v>CALL InsertUser('PEmail','PPassword');</v>
      </c>
    </row>
    <row r="3" spans="1:12" x14ac:dyDescent="0.25">
      <c r="A3" s="5" t="s">
        <v>68</v>
      </c>
      <c r="B3" s="5" t="s">
        <v>64</v>
      </c>
      <c r="C3" s="5" t="s">
        <v>1</v>
      </c>
      <c r="D3" s="5" t="s">
        <v>14</v>
      </c>
      <c r="E3" s="5" t="s">
        <v>43</v>
      </c>
      <c r="F3" s="5" t="s">
        <v>15</v>
      </c>
      <c r="G3" s="5" t="s">
        <v>42</v>
      </c>
      <c r="H3" s="5" t="s">
        <v>16</v>
      </c>
      <c r="I3" s="5" t="s">
        <v>42</v>
      </c>
      <c r="L3" s="5" t="str">
        <f>"CALL " &amp;C3&amp;"("&amp;L12&amp;","&amp;"'"&amp;F3&amp;"'"&amp;","&amp;"'"&amp;H3&amp;"'"&amp;");"</f>
        <v>CALL InsertList(getUserId('PEmail'),'PTitle','PDescription');</v>
      </c>
    </row>
    <row r="4" spans="1:12" x14ac:dyDescent="0.25">
      <c r="A4" s="5" t="s">
        <v>68</v>
      </c>
      <c r="B4" s="5" t="s">
        <v>65</v>
      </c>
      <c r="C4" s="5" t="s">
        <v>2</v>
      </c>
      <c r="D4" s="5" t="s">
        <v>17</v>
      </c>
      <c r="E4" s="5" t="s">
        <v>43</v>
      </c>
      <c r="F4" s="5" t="s">
        <v>15</v>
      </c>
      <c r="G4" s="5" t="s">
        <v>42</v>
      </c>
      <c r="H4" s="5" t="s">
        <v>16</v>
      </c>
      <c r="I4" s="5" t="s">
        <v>42</v>
      </c>
      <c r="J4" s="5" t="s">
        <v>18</v>
      </c>
      <c r="K4" s="5" t="s">
        <v>44</v>
      </c>
      <c r="L4" s="5" t="str">
        <f>"CALL " &amp;C4&amp;"("&amp;L13&amp;","&amp;"'"&amp;F4&amp;"'"&amp;","&amp;"'"&amp;H4&amp;"'"&amp;","&amp;"'"&amp;J4&amp;"'"&amp;");"</f>
        <v>CALL InsertTask(getListId(getUserId('PEmail'),'PTitleList'),'PTitle','PDescription','PDeadline');</v>
      </c>
    </row>
    <row r="5" spans="1:12" x14ac:dyDescent="0.25">
      <c r="A5" s="5" t="s">
        <v>68</v>
      </c>
      <c r="B5" s="5" t="s">
        <v>66</v>
      </c>
      <c r="C5" s="5" t="s">
        <v>3</v>
      </c>
      <c r="D5" s="5" t="s">
        <v>19</v>
      </c>
      <c r="E5" s="5" t="s">
        <v>43</v>
      </c>
      <c r="F5" s="5" t="s">
        <v>15</v>
      </c>
      <c r="G5" s="5" t="s">
        <v>42</v>
      </c>
      <c r="H5" s="5" t="s">
        <v>16</v>
      </c>
      <c r="I5" s="5" t="s">
        <v>42</v>
      </c>
      <c r="L5" s="5" t="str">
        <f>"CALL " &amp;C5&amp;"("&amp;L14&amp;","&amp;"'"&amp;F5&amp;"'"&amp;","&amp;"'"&amp;H5&amp;"'"&amp;");"</f>
        <v>CALL InsertStep(getTaskId(getListId(getUserId('PEmail'),'PTitleList'),'PTitleTask'),'PTitle','PDescription');</v>
      </c>
    </row>
    <row r="6" spans="1:12" x14ac:dyDescent="0.25">
      <c r="A6" s="5" t="s">
        <v>69</v>
      </c>
      <c r="B6" s="5" t="s">
        <v>65</v>
      </c>
      <c r="C6" s="5" t="s">
        <v>4</v>
      </c>
      <c r="D6" s="5" t="s">
        <v>11</v>
      </c>
      <c r="E6" s="5" t="s">
        <v>43</v>
      </c>
      <c r="F6" s="5" t="s">
        <v>10</v>
      </c>
      <c r="G6" s="5" t="s">
        <v>43</v>
      </c>
      <c r="L6" s="5" t="str">
        <f>"CALL "&amp;C6&amp;"("&amp;L14&amp;","&amp;F6&amp;");"</f>
        <v>CALL SetCheckTask(getTaskId(getListId(getUserId('PEmail'),'PTitleList'),'PTitleTask'),PValue);</v>
      </c>
    </row>
    <row r="7" spans="1:12" x14ac:dyDescent="0.25">
      <c r="A7" s="5" t="s">
        <v>69</v>
      </c>
      <c r="B7" s="5" t="s">
        <v>66</v>
      </c>
      <c r="C7" s="5" t="s">
        <v>20</v>
      </c>
      <c r="D7" s="5" t="s">
        <v>21</v>
      </c>
      <c r="E7" s="5" t="s">
        <v>43</v>
      </c>
      <c r="F7" s="5" t="s">
        <v>10</v>
      </c>
      <c r="G7" s="5" t="s">
        <v>43</v>
      </c>
      <c r="L7" s="5" t="str">
        <f>"CALL " &amp;C7&amp;"("&amp;L15&amp;","&amp;F7&amp;");"</f>
        <v>CALL SetCheckStep(getStepId(getTaskId(getListId(getUserId('PEmail'),'PTitleList'),'PTitleTask'),'PTitleStep'),PValue);</v>
      </c>
    </row>
    <row r="8" spans="1:12" x14ac:dyDescent="0.25">
      <c r="A8" s="5" t="s">
        <v>69</v>
      </c>
      <c r="B8" s="5" t="s">
        <v>67</v>
      </c>
      <c r="C8" s="5" t="s">
        <v>22</v>
      </c>
      <c r="D8" s="5" t="s">
        <v>23</v>
      </c>
      <c r="E8" s="5" t="s">
        <v>42</v>
      </c>
      <c r="F8" s="5" t="s">
        <v>24</v>
      </c>
      <c r="G8" s="5" t="s">
        <v>42</v>
      </c>
      <c r="L8" s="5" t="str">
        <f>"CALL " &amp; C8&amp;"("&amp;"'"&amp;D8&amp;"'"&amp;","&amp;"'"&amp;F8&amp;"'"&amp;");"</f>
        <v>CALL SetEmail('PEmailOld','PEmailNew');</v>
      </c>
    </row>
    <row r="9" spans="1:12" x14ac:dyDescent="0.25">
      <c r="A9" s="5" t="s">
        <v>69</v>
      </c>
      <c r="B9" s="5" t="s">
        <v>67</v>
      </c>
      <c r="C9" s="5" t="s">
        <v>25</v>
      </c>
      <c r="D9" s="5" t="s">
        <v>28</v>
      </c>
      <c r="E9" s="5" t="s">
        <v>43</v>
      </c>
      <c r="F9" s="5" t="s">
        <v>26</v>
      </c>
      <c r="G9" s="5" t="s">
        <v>42</v>
      </c>
      <c r="L9" s="5" t="str">
        <f>"CALL "&amp;C9&amp;"("&amp;L12&amp;","&amp;"'"&amp;F9&amp;"'"&amp;");"</f>
        <v>CALL SetPassword(getUserId('PEmail'),'PPwdNew');</v>
      </c>
    </row>
    <row r="10" spans="1:12" x14ac:dyDescent="0.25">
      <c r="A10" s="5" t="s">
        <v>69</v>
      </c>
      <c r="B10" s="5" t="s">
        <v>64</v>
      </c>
      <c r="C10" s="5" t="s">
        <v>27</v>
      </c>
      <c r="D10" s="5" t="s">
        <v>14</v>
      </c>
      <c r="E10" s="5" t="s">
        <v>43</v>
      </c>
      <c r="F10" s="5" t="s">
        <v>29</v>
      </c>
      <c r="G10" s="5" t="s">
        <v>43</v>
      </c>
      <c r="H10" s="5" t="s">
        <v>74</v>
      </c>
      <c r="I10" s="5" t="s">
        <v>42</v>
      </c>
      <c r="L10" s="5" t="str">
        <f>"CALL "&amp;C10&amp;"("&amp;L12&amp;","&amp;L13&amp;","&amp;"'"&amp;H10&amp;"'"&amp;");"</f>
        <v>CALL setTitleList(getUserId('PEmail'),getListId(getUserId('PEmail'),'PTitleList'),'PTitleNew');</v>
      </c>
    </row>
    <row r="11" spans="1:12" x14ac:dyDescent="0.25">
      <c r="A11" s="5" t="s">
        <v>69</v>
      </c>
      <c r="B11" s="5" t="s">
        <v>64</v>
      </c>
      <c r="C11" s="5" t="s">
        <v>30</v>
      </c>
      <c r="D11" s="5" t="s">
        <v>14</v>
      </c>
      <c r="E11" s="5" t="s">
        <v>43</v>
      </c>
      <c r="F11" s="5" t="s">
        <v>29</v>
      </c>
      <c r="G11" s="5" t="s">
        <v>43</v>
      </c>
      <c r="H11" s="5" t="s">
        <v>16</v>
      </c>
      <c r="I11" s="5" t="s">
        <v>42</v>
      </c>
      <c r="L11" s="5" t="str">
        <f>"CALL "&amp;C11&amp;"("&amp;L12&amp;","&amp;L13&amp;","&amp;"'"&amp;H11&amp;"'"&amp;");"</f>
        <v>CALL setDescriptionList(getUserId('PEmail'),getListId(getUserId('PEmail'),'PTitleList'),'PDescription');</v>
      </c>
    </row>
    <row r="12" spans="1:12" x14ac:dyDescent="0.25">
      <c r="A12" s="5" t="s">
        <v>70</v>
      </c>
      <c r="B12" s="5" t="s">
        <v>67</v>
      </c>
      <c r="C12" s="5" t="s">
        <v>31</v>
      </c>
      <c r="D12" s="5" t="s">
        <v>12</v>
      </c>
      <c r="E12" s="5" t="s">
        <v>42</v>
      </c>
      <c r="L12" s="5" t="str">
        <f>C12&amp;"("&amp;"'"&amp;D12&amp;"'"&amp;")"</f>
        <v>getUserId('PEmail')</v>
      </c>
    </row>
    <row r="13" spans="1:12" x14ac:dyDescent="0.25">
      <c r="A13" s="5" t="s">
        <v>70</v>
      </c>
      <c r="B13" s="5" t="s">
        <v>64</v>
      </c>
      <c r="C13" s="5" t="s">
        <v>32</v>
      </c>
      <c r="D13" s="5" t="s">
        <v>14</v>
      </c>
      <c r="E13" s="5" t="s">
        <v>43</v>
      </c>
      <c r="F13" s="5" t="s">
        <v>117</v>
      </c>
      <c r="G13" s="5" t="s">
        <v>43</v>
      </c>
      <c r="L13" s="5" t="str">
        <f>C13&amp;"("&amp;L12&amp;","&amp;"'"&amp;F13&amp;"'"&amp;")"</f>
        <v>getListId(getUserId('PEmail'),'PTitleList')</v>
      </c>
    </row>
    <row r="14" spans="1:12" x14ac:dyDescent="0.25">
      <c r="A14" s="5" t="s">
        <v>70</v>
      </c>
      <c r="B14" s="5" t="s">
        <v>65</v>
      </c>
      <c r="C14" s="5" t="s">
        <v>33</v>
      </c>
      <c r="D14" s="5" t="s">
        <v>17</v>
      </c>
      <c r="E14" s="5" t="s">
        <v>43</v>
      </c>
      <c r="F14" s="5" t="s">
        <v>118</v>
      </c>
      <c r="G14" s="5" t="s">
        <v>43</v>
      </c>
      <c r="L14" s="5" t="str">
        <f>C14&amp;"("&amp;L13&amp;","&amp;"'"&amp;F14&amp;"'"&amp;")"</f>
        <v>getTaskId(getListId(getUserId('PEmail'),'PTitleList'),'PTitleTask')</v>
      </c>
    </row>
    <row r="15" spans="1:12" x14ac:dyDescent="0.25">
      <c r="A15" s="5" t="s">
        <v>70</v>
      </c>
      <c r="B15" s="5" t="s">
        <v>66</v>
      </c>
      <c r="C15" s="5" t="s">
        <v>34</v>
      </c>
      <c r="D15" s="5" t="s">
        <v>19</v>
      </c>
      <c r="E15" s="5" t="s">
        <v>43</v>
      </c>
      <c r="F15" s="5" t="s">
        <v>40</v>
      </c>
      <c r="G15" s="5" t="s">
        <v>43</v>
      </c>
      <c r="L15" s="5" t="str">
        <f>C15&amp;"("&amp;L14&amp;","&amp;"'"&amp;F15&amp;"'"&amp;")"</f>
        <v>getStepId(getTaskId(getListId(getUserId('PEmail'),'PTitleList'),'PTitleTask'),'PTitleStep')</v>
      </c>
    </row>
    <row r="16" spans="1:12" x14ac:dyDescent="0.25">
      <c r="A16" s="5" t="s">
        <v>70</v>
      </c>
      <c r="B16" s="5" t="s">
        <v>65</v>
      </c>
      <c r="C16" s="5" t="s">
        <v>35</v>
      </c>
      <c r="D16" s="5" t="s">
        <v>17</v>
      </c>
      <c r="E16" s="5" t="s">
        <v>43</v>
      </c>
      <c r="L16" s="5" t="str">
        <f>C16&amp;"("&amp;L13&amp;")"</f>
        <v>getNbOfTask(getListId(getUserId('PEmail'),'PTitleList'))</v>
      </c>
    </row>
    <row r="17" spans="1:12" x14ac:dyDescent="0.25">
      <c r="A17" s="5" t="s">
        <v>70</v>
      </c>
      <c r="B17" s="5" t="s">
        <v>66</v>
      </c>
      <c r="C17" s="5" t="s">
        <v>36</v>
      </c>
      <c r="D17" s="5" t="s">
        <v>19</v>
      </c>
      <c r="E17" s="5" t="s">
        <v>43</v>
      </c>
      <c r="L17" s="5" t="str">
        <f>C17&amp;"("&amp;L14&amp;")"</f>
        <v>getNbOfStep(getTaskId(getListId(getUserId('PEmail'),'PTitleList'),'PTitleTask'))</v>
      </c>
    </row>
    <row r="18" spans="1:12" x14ac:dyDescent="0.25">
      <c r="A18" s="5" t="s">
        <v>70</v>
      </c>
      <c r="B18" s="5" t="s">
        <v>66</v>
      </c>
      <c r="C18" s="5" t="s">
        <v>37</v>
      </c>
      <c r="D18" s="5" t="s">
        <v>19</v>
      </c>
      <c r="E18" s="5" t="s">
        <v>43</v>
      </c>
      <c r="L18" s="5" t="str">
        <f>C18&amp;"("&amp;L14&amp;")"</f>
        <v>getNbOfStepValid(getTaskId(getListId(getUserId('PEmail'),'PTitleList'),'PTitleTask'))</v>
      </c>
    </row>
    <row r="19" spans="1:12" x14ac:dyDescent="0.25">
      <c r="A19" s="5" t="s">
        <v>70</v>
      </c>
      <c r="B19" s="5" t="s">
        <v>64</v>
      </c>
      <c r="C19" s="5" t="s">
        <v>38</v>
      </c>
      <c r="D19" s="5" t="s">
        <v>29</v>
      </c>
      <c r="E19" s="5" t="s">
        <v>43</v>
      </c>
      <c r="L19" s="5" t="str">
        <f>C19&amp;"("&amp;L13&amp;")"</f>
        <v>getDateOfList(getListId(getUserId('PEmail'),'PTitleList'))</v>
      </c>
    </row>
    <row r="20" spans="1:12" x14ac:dyDescent="0.25">
      <c r="A20" s="5" t="s">
        <v>70</v>
      </c>
      <c r="B20" s="5" t="s">
        <v>67</v>
      </c>
      <c r="C20" s="5" t="s">
        <v>39</v>
      </c>
      <c r="D20" s="5" t="s">
        <v>12</v>
      </c>
      <c r="E20" s="5" t="s">
        <v>42</v>
      </c>
      <c r="L20" s="5" t="str">
        <f>C20&amp;"("&amp;"'"&amp;D20&amp;"'"&amp;")"</f>
        <v>getPassword('PEmail')</v>
      </c>
    </row>
    <row r="21" spans="1:12" x14ac:dyDescent="0.25">
      <c r="A21" s="5" t="s">
        <v>69</v>
      </c>
      <c r="B21" s="5" t="s">
        <v>65</v>
      </c>
      <c r="C21" s="5" t="s">
        <v>75</v>
      </c>
      <c r="D21" s="5" t="s">
        <v>11</v>
      </c>
      <c r="E21" s="5" t="s">
        <v>43</v>
      </c>
      <c r="F21" s="5" t="s">
        <v>74</v>
      </c>
      <c r="G21" s="5" t="s">
        <v>42</v>
      </c>
      <c r="L21" s="5" t="str">
        <f>"CALL " &amp; C21 &amp; "("&amp;L14&amp;","&amp;"'"&amp;F21&amp;"'"&amp;");"</f>
        <v>CALL setTitleTask(getTaskId(getListId(getUserId('PEmail'),'PTitleList'),'PTitleTask'),'PTitleNew');</v>
      </c>
    </row>
    <row r="22" spans="1:12" x14ac:dyDescent="0.25">
      <c r="A22" s="5" t="s">
        <v>69</v>
      </c>
      <c r="B22" s="5" t="s">
        <v>65</v>
      </c>
      <c r="C22" s="5" t="s">
        <v>78</v>
      </c>
      <c r="D22" s="5" t="s">
        <v>11</v>
      </c>
      <c r="E22" s="5" t="s">
        <v>43</v>
      </c>
      <c r="F22" s="5" t="s">
        <v>16</v>
      </c>
      <c r="G22" s="5" t="s">
        <v>42</v>
      </c>
      <c r="L22" s="5" t="str">
        <f>"CALL " &amp;C22&amp;"("&amp;L14&amp;","&amp;"'"&amp;F22&amp;"'"&amp;");"</f>
        <v>CALL setDescriptionTask(getTaskId(getListId(getUserId('PEmail'),'PTitleList'),'PTitleTask'),'PDescription');</v>
      </c>
    </row>
    <row r="23" spans="1:12" x14ac:dyDescent="0.25">
      <c r="A23" s="5" t="s">
        <v>69</v>
      </c>
      <c r="B23" s="5" t="s">
        <v>65</v>
      </c>
      <c r="C23" s="5" t="s">
        <v>81</v>
      </c>
      <c r="D23" s="5" t="s">
        <v>11</v>
      </c>
      <c r="E23" s="5" t="s">
        <v>43</v>
      </c>
      <c r="F23" s="5" t="s">
        <v>82</v>
      </c>
      <c r="G23" s="5" t="s">
        <v>44</v>
      </c>
      <c r="L23" s="5" t="str">
        <f>"CALL " &amp;C23&amp;"("&amp;L14&amp;","&amp;"'"&amp;F23&amp;"'"&amp;");"</f>
        <v>CALL setDeadlineTask(getTaskId(getListId(getUserId('PEmail'),'PTitleList'),'PTitleTask'),'PNewDate');</v>
      </c>
    </row>
    <row r="24" spans="1:12" x14ac:dyDescent="0.25">
      <c r="A24" s="5" t="s">
        <v>69</v>
      </c>
      <c r="B24" s="5" t="s">
        <v>66</v>
      </c>
      <c r="C24" s="5" t="s">
        <v>84</v>
      </c>
      <c r="D24" s="5" t="s">
        <v>21</v>
      </c>
      <c r="E24" s="5" t="s">
        <v>43</v>
      </c>
      <c r="F24" s="5" t="s">
        <v>74</v>
      </c>
      <c r="G24" s="5" t="s">
        <v>42</v>
      </c>
      <c r="L24" s="5" t="str">
        <f>"CALL "&amp;C24&amp;"("&amp;L15&amp;","&amp;"'"&amp;F24&amp;"'"&amp;");"</f>
        <v>CALL setTitleStep(getStepId(getTaskId(getListId(getUserId('PEmail'),'PTitleList'),'PTitleTask'),'PTitleStep'),'PTitleNew');</v>
      </c>
    </row>
    <row r="25" spans="1:12" x14ac:dyDescent="0.25">
      <c r="A25" s="5" t="s">
        <v>69</v>
      </c>
      <c r="B25" s="5" t="s">
        <v>66</v>
      </c>
      <c r="C25" s="5" t="s">
        <v>85</v>
      </c>
      <c r="D25" s="5" t="s">
        <v>21</v>
      </c>
      <c r="E25" s="5" t="s">
        <v>43</v>
      </c>
      <c r="F25" s="5" t="s">
        <v>16</v>
      </c>
      <c r="G25" s="5" t="s">
        <v>42</v>
      </c>
      <c r="L25" s="5" t="str">
        <f>"CALL " &amp;C25&amp;"("&amp;L15&amp;","&amp;"'"&amp;F25&amp;"'"&amp;");"</f>
        <v>CALL setDescriptionStep(getStepId(getTaskId(getListId(getUserId('PEmail'),'PTitleList'),'PTitleTask'),'PTitleStep'),'PDescription');</v>
      </c>
    </row>
    <row r="26" spans="1:12" customFormat="1" x14ac:dyDescent="0.25">
      <c r="A26" t="s">
        <v>90</v>
      </c>
      <c r="B26" t="s">
        <v>67</v>
      </c>
      <c r="C26" t="s">
        <v>91</v>
      </c>
      <c r="D26" t="s">
        <v>28</v>
      </c>
      <c r="E26" t="s">
        <v>43</v>
      </c>
      <c r="L26" t="str">
        <f>"CALL " &amp; C26&amp;"("&amp;L12&amp;");"</f>
        <v>CALL deleteUser(getUserId('PEmail'));</v>
      </c>
    </row>
    <row r="27" spans="1:12" customFormat="1" x14ac:dyDescent="0.25">
      <c r="A27" t="s">
        <v>90</v>
      </c>
      <c r="B27" t="s">
        <v>64</v>
      </c>
      <c r="C27" t="s">
        <v>106</v>
      </c>
      <c r="D27" t="s">
        <v>29</v>
      </c>
      <c r="E27" t="s">
        <v>43</v>
      </c>
      <c r="L27" t="str">
        <f>"CALL "&amp;C27&amp;"("&amp;L13&amp;");"</f>
        <v>CALL deleteList(getListId(getUserId('PEmail'),'PTitleList'));</v>
      </c>
    </row>
    <row r="28" spans="1:12" customFormat="1" x14ac:dyDescent="0.25">
      <c r="A28" t="s">
        <v>90</v>
      </c>
      <c r="B28" t="s">
        <v>65</v>
      </c>
      <c r="C28" t="s">
        <v>107</v>
      </c>
      <c r="D28" t="s">
        <v>11</v>
      </c>
      <c r="E28" t="s">
        <v>43</v>
      </c>
      <c r="L28" t="str">
        <f>"CALL "&amp;C28&amp;"("&amp;L14&amp;");"</f>
        <v>CALL deleteTask(getTaskId(getListId(getUserId('PEmail'),'PTitleList'),'PTitleTask'));</v>
      </c>
    </row>
    <row r="29" spans="1:12" customFormat="1" x14ac:dyDescent="0.25">
      <c r="A29" t="s">
        <v>90</v>
      </c>
      <c r="B29" t="s">
        <v>66</v>
      </c>
      <c r="C29" t="s">
        <v>108</v>
      </c>
      <c r="D29" t="s">
        <v>21</v>
      </c>
      <c r="E29" t="s">
        <v>43</v>
      </c>
      <c r="L29" t="str">
        <f>"CALL "&amp;C29&amp;"("&amp;L15&amp;");"</f>
        <v>CALL deleteStep(getStepId(getTaskId(getListId(getUserId('PEmail'),'PTitleList'),'PTitleTask'),'PTitleStep'));</v>
      </c>
    </row>
    <row r="30" spans="1:12" x14ac:dyDescent="0.25">
      <c r="A30" s="5" t="s">
        <v>70</v>
      </c>
      <c r="B30" s="5" t="s">
        <v>64</v>
      </c>
      <c r="C30" s="5" t="s">
        <v>112</v>
      </c>
      <c r="D30" s="5" t="s">
        <v>14</v>
      </c>
      <c r="E30" t="s">
        <v>43</v>
      </c>
      <c r="L30" s="5" t="str">
        <f>"SELECT " &amp; C30 &amp; "(" &amp; L12 &amp; ");"</f>
        <v>SELECT getUserLists(getUserId('PEmail'));</v>
      </c>
    </row>
    <row r="31" spans="1:12" x14ac:dyDescent="0.25">
      <c r="A31" s="5" t="s">
        <v>70</v>
      </c>
      <c r="B31" s="5" t="s">
        <v>65</v>
      </c>
      <c r="C31" s="5" t="s">
        <v>116</v>
      </c>
      <c r="D31" s="5" t="s">
        <v>17</v>
      </c>
      <c r="E31" t="s">
        <v>43</v>
      </c>
      <c r="L31" s="5" t="str">
        <f>"SELECT " &amp;C31 &amp; "(" &amp; L13 &amp; ");"</f>
        <v>SELECT getListTasks(getListId(getUserId('PEmail'),'PTitleList'));</v>
      </c>
    </row>
    <row r="32" spans="1:12" x14ac:dyDescent="0.25">
      <c r="A32" s="5" t="s">
        <v>70</v>
      </c>
      <c r="B32" t="s">
        <v>66</v>
      </c>
      <c r="C32" s="5" t="s">
        <v>120</v>
      </c>
      <c r="D32" s="5" t="s">
        <v>19</v>
      </c>
      <c r="E32" t="s">
        <v>43</v>
      </c>
      <c r="L32" s="5" t="str">
        <f>"SELECT " &amp;C32 &amp; "(" &amp; L14 &amp; ");"</f>
        <v>SELECT getTaskSteps(getTaskId(getListId(getUserId('PEmail'),'PTitleList'),'PTitleTask'));</v>
      </c>
    </row>
  </sheetData>
  <autoFilter ref="A1:L20" xr:uid="{6C23AD93-0954-4497-BE63-EFC595665CEF}"/>
  <phoneticPr fontId="1" type="noConversion"/>
  <pageMargins left="0.7" right="0.7" top="0.75" bottom="0.75" header="0.3" footer="0.3"/>
  <pageSetup paperSize="9" orientation="portrait" r:id="rId1"/>
  <ignoredErrors>
    <ignoredError sqref="L4" formula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C6EAF7-3ED9-4BB4-ADE2-12E161D9E386}">
  <sheetPr codeName="Feuil3"/>
  <dimension ref="A1:L32"/>
  <sheetViews>
    <sheetView topLeftCell="B4" workbookViewId="0">
      <selection activeCell="L30" sqref="L30"/>
    </sheetView>
  </sheetViews>
  <sheetFormatPr baseColWidth="10" defaultRowHeight="15" x14ac:dyDescent="0.25"/>
  <cols>
    <col min="1" max="1" width="7.42578125" bestFit="1" customWidth="1"/>
    <col min="2" max="2" width="9.5703125" bestFit="1" customWidth="1"/>
    <col min="3" max="3" width="20.5703125" bestFit="1" customWidth="1"/>
    <col min="4" max="4" width="12.7109375" bestFit="1" customWidth="1"/>
    <col min="5" max="5" width="5.28515625" bestFit="1" customWidth="1"/>
    <col min="6" max="6" width="15.28515625" bestFit="1" customWidth="1"/>
    <col min="7" max="7" width="5.28515625" bestFit="1" customWidth="1"/>
    <col min="8" max="8" width="13.5703125" bestFit="1" customWidth="1"/>
    <col min="9" max="9" width="5.28515625" bestFit="1" customWidth="1"/>
    <col min="10" max="10" width="11.7109375" bestFit="1" customWidth="1"/>
    <col min="11" max="11" width="5.28515625" bestFit="1" customWidth="1"/>
    <col min="12" max="12" width="158.140625" bestFit="1" customWidth="1"/>
  </cols>
  <sheetData>
    <row r="1" spans="1:12" x14ac:dyDescent="0.25">
      <c r="A1" t="s">
        <v>71</v>
      </c>
      <c r="B1" t="s">
        <v>72</v>
      </c>
      <c r="C1" t="s">
        <v>5</v>
      </c>
      <c r="D1" t="s">
        <v>6</v>
      </c>
      <c r="E1" t="s">
        <v>41</v>
      </c>
      <c r="F1" t="s">
        <v>7</v>
      </c>
      <c r="G1" t="s">
        <v>41</v>
      </c>
      <c r="H1" t="s">
        <v>8</v>
      </c>
      <c r="I1" t="s">
        <v>41</v>
      </c>
      <c r="J1" t="s">
        <v>9</v>
      </c>
      <c r="K1" t="s">
        <v>41</v>
      </c>
    </row>
    <row r="2" spans="1:12" x14ac:dyDescent="0.25">
      <c r="A2" t="s">
        <v>68</v>
      </c>
      <c r="B2" t="s">
        <v>67</v>
      </c>
      <c r="C2" t="s">
        <v>0</v>
      </c>
      <c r="D2" s="4" t="s">
        <v>94</v>
      </c>
      <c r="E2" t="s">
        <v>42</v>
      </c>
      <c r="F2" t="s">
        <v>93</v>
      </c>
      <c r="G2" t="s">
        <v>42</v>
      </c>
      <c r="L2" t="str">
        <f>"CALL " &amp;C2&amp;"("&amp;"'"&amp;D2&amp;"'"&amp;","&amp;"'"&amp;F2&amp;"'"&amp;");"</f>
        <v>CALL InsertUser('ftyjh','srfbsretgsergserg');</v>
      </c>
    </row>
    <row r="3" spans="1:12" x14ac:dyDescent="0.25">
      <c r="A3" t="s">
        <v>68</v>
      </c>
      <c r="B3" t="s">
        <v>64</v>
      </c>
      <c r="C3" t="s">
        <v>1</v>
      </c>
      <c r="D3" t="s">
        <v>14</v>
      </c>
      <c r="E3" t="s">
        <v>43</v>
      </c>
      <c r="F3" t="s">
        <v>46</v>
      </c>
      <c r="G3" t="s">
        <v>42</v>
      </c>
      <c r="I3" t="s">
        <v>42</v>
      </c>
      <c r="L3" t="str">
        <f>"CALL " &amp;C3&amp;"("&amp;L12&amp;","&amp;"'"&amp;F3&amp;"'"&amp;","&amp;"'"&amp;H3&amp;"'"&amp;");"</f>
        <v>CALL InsertList(getUserId('test1@test.fr'),'Liste1','');</v>
      </c>
    </row>
    <row r="4" spans="1:12" x14ac:dyDescent="0.25">
      <c r="A4" t="s">
        <v>68</v>
      </c>
      <c r="B4" t="s">
        <v>65</v>
      </c>
      <c r="C4" t="s">
        <v>2</v>
      </c>
      <c r="D4" t="s">
        <v>17</v>
      </c>
      <c r="E4" t="s">
        <v>43</v>
      </c>
      <c r="F4" t="s">
        <v>48</v>
      </c>
      <c r="G4" t="s">
        <v>42</v>
      </c>
      <c r="H4" t="s">
        <v>49</v>
      </c>
      <c r="I4" t="s">
        <v>42</v>
      </c>
      <c r="J4" s="3" t="str">
        <f>"2021-04-16"</f>
        <v>2021-04-16</v>
      </c>
      <c r="K4" t="s">
        <v>44</v>
      </c>
      <c r="L4" t="str">
        <f>"CALL " &amp;C4&amp;"("&amp;L13&amp;","&amp;"'"&amp;F4&amp;"'"&amp;","&amp;"'"&amp;H4&amp;"'"&amp;","&amp;"'"&amp;J4&amp;"'"&amp;");"</f>
        <v>CALL InsertTask(getListId(getUserId('test1@test.fr'),'Liste1'),'Tache4','tache4','2021-04-16');</v>
      </c>
    </row>
    <row r="5" spans="1:12" x14ac:dyDescent="0.25">
      <c r="A5" t="s">
        <v>68</v>
      </c>
      <c r="B5" t="s">
        <v>66</v>
      </c>
      <c r="C5" t="s">
        <v>3</v>
      </c>
      <c r="D5" t="s">
        <v>19</v>
      </c>
      <c r="E5" t="s">
        <v>43</v>
      </c>
      <c r="F5" t="s">
        <v>53</v>
      </c>
      <c r="G5" t="s">
        <v>42</v>
      </c>
      <c r="H5" t="s">
        <v>53</v>
      </c>
      <c r="I5" t="s">
        <v>42</v>
      </c>
      <c r="L5" t="str">
        <f>"CALL " &amp;C5&amp;"("&amp;L14&amp;","&amp;"'"&amp;F5&amp;"'"&amp;","&amp;"'"&amp;H5&amp;"'"&amp;");"</f>
        <v>CALL InsertStep(getTaskId(getListId(getUserId('test1@test.fr'),'Liste1'),'Tache1'),'Step4','Step4');</v>
      </c>
    </row>
    <row r="6" spans="1:12" x14ac:dyDescent="0.25">
      <c r="A6" t="s">
        <v>69</v>
      </c>
      <c r="B6" t="s">
        <v>65</v>
      </c>
      <c r="C6" t="s">
        <v>4</v>
      </c>
      <c r="D6" t="s">
        <v>11</v>
      </c>
      <c r="E6" t="s">
        <v>43</v>
      </c>
      <c r="F6">
        <v>0</v>
      </c>
      <c r="G6" t="s">
        <v>43</v>
      </c>
      <c r="L6" t="str">
        <f>"CALL "&amp;C6&amp;"("&amp;L14&amp;","&amp;F6&amp;");"</f>
        <v>CALL SetCheckTask(getTaskId(getListId(getUserId('test1@test.fr'),'Liste1'),'Tache1'),0);</v>
      </c>
    </row>
    <row r="7" spans="1:12" x14ac:dyDescent="0.25">
      <c r="A7" t="s">
        <v>69</v>
      </c>
      <c r="B7" t="s">
        <v>66</v>
      </c>
      <c r="C7" t="s">
        <v>20</v>
      </c>
      <c r="D7" t="s">
        <v>21</v>
      </c>
      <c r="E7" t="s">
        <v>43</v>
      </c>
      <c r="F7">
        <v>0</v>
      </c>
      <c r="G7" t="s">
        <v>43</v>
      </c>
      <c r="L7" t="str">
        <f>"CALL " &amp;C7&amp;"("&amp;L15&amp;","&amp;F7&amp;");"</f>
        <v>CALL SetCheckStep(getStepId(getTaskId(getListId(getUserId('test1@test.fr'),'Liste1'),'Tache1'),'Step1'),0);</v>
      </c>
    </row>
    <row r="8" spans="1:12" x14ac:dyDescent="0.25">
      <c r="A8" t="s">
        <v>69</v>
      </c>
      <c r="B8" t="s">
        <v>67</v>
      </c>
      <c r="C8" t="s">
        <v>22</v>
      </c>
      <c r="D8" s="1" t="s">
        <v>59</v>
      </c>
      <c r="E8" t="s">
        <v>42</v>
      </c>
      <c r="F8" s="2" t="s">
        <v>45</v>
      </c>
      <c r="G8" t="s">
        <v>42</v>
      </c>
      <c r="L8" t="str">
        <f>"CALL " &amp; C8&amp;"("&amp;"'"&amp;D8&amp;"'"&amp;","&amp;"'"&amp;F8&amp;"'"&amp;");"</f>
        <v>CALL SetEmail('test1bis@test.fr','test1@test.fr');</v>
      </c>
    </row>
    <row r="9" spans="1:12" x14ac:dyDescent="0.25">
      <c r="A9" t="s">
        <v>69</v>
      </c>
      <c r="B9" t="s">
        <v>67</v>
      </c>
      <c r="C9" t="s">
        <v>25</v>
      </c>
      <c r="D9" t="s">
        <v>28</v>
      </c>
      <c r="E9" t="s">
        <v>43</v>
      </c>
      <c r="F9" t="s">
        <v>26</v>
      </c>
      <c r="G9" t="s">
        <v>42</v>
      </c>
      <c r="L9" t="str">
        <f>"CALL "&amp;C9&amp;"("&amp;L12&amp;","&amp;"'"&amp;F9&amp;"'"&amp;");"</f>
        <v>CALL SetPassword(getUserId('test1@test.fr'),'PPwdNew');</v>
      </c>
    </row>
    <row r="10" spans="1:12" x14ac:dyDescent="0.25">
      <c r="A10" t="s">
        <v>69</v>
      </c>
      <c r="B10" t="s">
        <v>64</v>
      </c>
      <c r="C10" t="s">
        <v>27</v>
      </c>
      <c r="D10" t="s">
        <v>14</v>
      </c>
      <c r="E10" t="s">
        <v>43</v>
      </c>
      <c r="F10" t="s">
        <v>29</v>
      </c>
      <c r="G10" t="s">
        <v>43</v>
      </c>
      <c r="H10" t="s">
        <v>46</v>
      </c>
      <c r="I10" t="s">
        <v>42</v>
      </c>
      <c r="L10" t="str">
        <f>"CALL "&amp;C10&amp;"("&amp;L12&amp;","&amp;L13&amp;","&amp;"'"&amp;H10&amp;"'"&amp;");"</f>
        <v>CALL setTitleList(getUserId('test1@test.fr'),getListId(getUserId('test1@test.fr'),'Liste1'),'Liste1');</v>
      </c>
    </row>
    <row r="11" spans="1:12" x14ac:dyDescent="0.25">
      <c r="A11" t="s">
        <v>69</v>
      </c>
      <c r="B11" t="s">
        <v>64</v>
      </c>
      <c r="C11" t="s">
        <v>30</v>
      </c>
      <c r="D11" t="s">
        <v>14</v>
      </c>
      <c r="E11" t="s">
        <v>43</v>
      </c>
      <c r="F11" t="s">
        <v>29</v>
      </c>
      <c r="G11" t="s">
        <v>43</v>
      </c>
      <c r="H11" t="s">
        <v>63</v>
      </c>
      <c r="I11" t="s">
        <v>42</v>
      </c>
      <c r="L11" t="str">
        <f>"CALL "&amp;C11&amp;"("&amp;L12&amp;","&amp;L13&amp;","&amp;"'"&amp;H11&amp;"'"&amp;");"</f>
        <v>CALL setDescriptionList(getUserId('test1@test.fr'),getListId(getUserId('test1@test.fr'),'Liste1'),'qrzgsergsergsergsergsergsdfgserfgszergwdfvsergsergvwdsfvsergsergsdfvserg');</v>
      </c>
    </row>
    <row r="12" spans="1:12" x14ac:dyDescent="0.25">
      <c r="A12" t="s">
        <v>70</v>
      </c>
      <c r="B12" t="s">
        <v>67</v>
      </c>
      <c r="C12" t="s">
        <v>31</v>
      </c>
      <c r="D12" s="2" t="s">
        <v>45</v>
      </c>
      <c r="E12" t="s">
        <v>42</v>
      </c>
      <c r="L12" t="str">
        <f>C12&amp;"("&amp;"'"&amp;D12&amp;"'"&amp;")"</f>
        <v>getUserId('test1@test.fr')</v>
      </c>
    </row>
    <row r="13" spans="1:12" x14ac:dyDescent="0.25">
      <c r="A13" t="s">
        <v>70</v>
      </c>
      <c r="B13" t="s">
        <v>64</v>
      </c>
      <c r="C13" t="s">
        <v>32</v>
      </c>
      <c r="D13" t="s">
        <v>14</v>
      </c>
      <c r="E13" t="s">
        <v>43</v>
      </c>
      <c r="F13" t="s">
        <v>46</v>
      </c>
      <c r="G13" t="s">
        <v>43</v>
      </c>
      <c r="L13" t="str">
        <f>C13&amp;"("&amp;L12&amp;","&amp;"'"&amp;F13&amp;"'"&amp;")"</f>
        <v>getListId(getUserId('test1@test.fr'),'Liste1')</v>
      </c>
    </row>
    <row r="14" spans="1:12" x14ac:dyDescent="0.25">
      <c r="A14" t="s">
        <v>70</v>
      </c>
      <c r="B14" t="s">
        <v>65</v>
      </c>
      <c r="C14" t="s">
        <v>33</v>
      </c>
      <c r="D14" t="s">
        <v>17</v>
      </c>
      <c r="E14" t="s">
        <v>43</v>
      </c>
      <c r="F14" t="s">
        <v>47</v>
      </c>
      <c r="G14" t="s">
        <v>43</v>
      </c>
      <c r="L14" t="str">
        <f>C14&amp;"("&amp;L13&amp;","&amp;"'"&amp;F14&amp;"'"&amp;")"</f>
        <v>getTaskId(getListId(getUserId('test1@test.fr'),'Liste1'),'Tache1')</v>
      </c>
    </row>
    <row r="15" spans="1:12" x14ac:dyDescent="0.25">
      <c r="A15" t="s">
        <v>70</v>
      </c>
      <c r="B15" t="s">
        <v>66</v>
      </c>
      <c r="C15" t="s">
        <v>34</v>
      </c>
      <c r="D15" t="s">
        <v>19</v>
      </c>
      <c r="E15" t="s">
        <v>43</v>
      </c>
      <c r="F15" t="s">
        <v>50</v>
      </c>
      <c r="G15" t="s">
        <v>43</v>
      </c>
      <c r="L15" t="str">
        <f>C15&amp;"("&amp;L14&amp;","&amp;"'"&amp;F15&amp;"'"&amp;")"</f>
        <v>getStepId(getTaskId(getListId(getUserId('test1@test.fr'),'Liste1'),'Tache1'),'Step1')</v>
      </c>
    </row>
    <row r="16" spans="1:12" x14ac:dyDescent="0.25">
      <c r="A16" t="s">
        <v>70</v>
      </c>
      <c r="B16" t="s">
        <v>65</v>
      </c>
      <c r="C16" t="s">
        <v>35</v>
      </c>
      <c r="D16" t="s">
        <v>17</v>
      </c>
      <c r="E16" t="s">
        <v>43</v>
      </c>
      <c r="L16" t="str">
        <f>C16&amp;"("&amp;L13&amp;")"</f>
        <v>getNbOfTask(getListId(getUserId('test1@test.fr'),'Liste1'))</v>
      </c>
    </row>
    <row r="17" spans="1:12" x14ac:dyDescent="0.25">
      <c r="A17" t="s">
        <v>70</v>
      </c>
      <c r="B17" t="s">
        <v>66</v>
      </c>
      <c r="C17" t="s">
        <v>36</v>
      </c>
      <c r="D17" t="s">
        <v>19</v>
      </c>
      <c r="E17" t="s">
        <v>43</v>
      </c>
      <c r="L17" t="str">
        <f>C17&amp;"("&amp;L14&amp;")"</f>
        <v>getNbOfStep(getTaskId(getListId(getUserId('test1@test.fr'),'Liste1'),'Tache1'))</v>
      </c>
    </row>
    <row r="18" spans="1:12" x14ac:dyDescent="0.25">
      <c r="A18" t="s">
        <v>70</v>
      </c>
      <c r="B18" t="s">
        <v>66</v>
      </c>
      <c r="C18" t="s">
        <v>37</v>
      </c>
      <c r="D18" t="s">
        <v>19</v>
      </c>
      <c r="E18" t="s">
        <v>43</v>
      </c>
      <c r="L18" t="str">
        <f>C18&amp;"("&amp;L14&amp;")"</f>
        <v>getNbOfStepValid(getTaskId(getListId(getUserId('test1@test.fr'),'Liste1'),'Tache1'))</v>
      </c>
    </row>
    <row r="19" spans="1:12" x14ac:dyDescent="0.25">
      <c r="A19" t="s">
        <v>70</v>
      </c>
      <c r="B19" t="s">
        <v>64</v>
      </c>
      <c r="C19" t="s">
        <v>38</v>
      </c>
      <c r="D19" t="s">
        <v>29</v>
      </c>
      <c r="E19" t="s">
        <v>43</v>
      </c>
      <c r="L19" t="str">
        <f>C19&amp;"("&amp;L13&amp;")"</f>
        <v>getDateOfList(getListId(getUserId('test1@test.fr'),'Liste1'))</v>
      </c>
    </row>
    <row r="20" spans="1:12" x14ac:dyDescent="0.25">
      <c r="A20" t="s">
        <v>70</v>
      </c>
      <c r="B20" t="s">
        <v>67</v>
      </c>
      <c r="C20" t="s">
        <v>39</v>
      </c>
      <c r="D20" t="s">
        <v>45</v>
      </c>
      <c r="E20" t="s">
        <v>42</v>
      </c>
      <c r="L20" t="str">
        <f>C20&amp;"("&amp;"'"&amp;D20&amp;"'"&amp;")"</f>
        <v>getPassword('test1@test.fr')</v>
      </c>
    </row>
    <row r="21" spans="1:12" x14ac:dyDescent="0.25">
      <c r="A21" t="s">
        <v>69</v>
      </c>
      <c r="B21" t="s">
        <v>65</v>
      </c>
      <c r="C21" t="s">
        <v>75</v>
      </c>
      <c r="D21" t="s">
        <v>11</v>
      </c>
      <c r="E21" t="s">
        <v>43</v>
      </c>
      <c r="F21" t="s">
        <v>76</v>
      </c>
      <c r="G21" t="s">
        <v>42</v>
      </c>
      <c r="L21" t="str">
        <f>"CALL " &amp; C21 &amp; "("&amp;L14&amp;","&amp;"'"&amp;F21&amp;"'"&amp;");"</f>
        <v>CALL setTitleTask(getTaskId(getListId(getUserId('test1@test.fr'),'Liste1'),'Tache1'),'New');</v>
      </c>
    </row>
    <row r="22" spans="1:12" x14ac:dyDescent="0.25">
      <c r="A22" t="s">
        <v>69</v>
      </c>
      <c r="B22" t="s">
        <v>65</v>
      </c>
      <c r="C22" t="s">
        <v>78</v>
      </c>
      <c r="D22" t="s">
        <v>11</v>
      </c>
      <c r="E22" t="s">
        <v>43</v>
      </c>
      <c r="F22" t="s">
        <v>79</v>
      </c>
      <c r="G22" t="s">
        <v>42</v>
      </c>
      <c r="L22" t="str">
        <f>"CALL " &amp;C22&amp;"("&amp;L14&amp;","&amp;"'"&amp;F22&amp;"'"&amp;");"</f>
        <v>CALL setDescriptionTask(getTaskId(getListId(getUserId('test1@test.fr'),'Liste1'),'Tache1'),'iuzqefohzefoqhuzefh qzoeuhfqohzefoqhze flijhqze foqh zefouqhzeh qelhqozefhqzehf qozeh qoehz ze f');</v>
      </c>
    </row>
    <row r="23" spans="1:12" x14ac:dyDescent="0.25">
      <c r="A23" t="s">
        <v>69</v>
      </c>
      <c r="B23" t="s">
        <v>65</v>
      </c>
      <c r="C23" t="s">
        <v>81</v>
      </c>
      <c r="D23" t="s">
        <v>11</v>
      </c>
      <c r="E23" t="s">
        <v>43</v>
      </c>
      <c r="F23" t="str">
        <f>"2021-04-19"</f>
        <v>2021-04-19</v>
      </c>
      <c r="G23" t="s">
        <v>44</v>
      </c>
      <c r="L23" t="str">
        <f>"CALL " &amp;C23&amp;"("&amp;L14&amp;","&amp;"'"&amp;F23&amp;"'"&amp;");"</f>
        <v>CALL setDeadlineTask(getTaskId(getListId(getUserId('test1@test.fr'),'Liste1'),'Tache1'),'2021-04-19');</v>
      </c>
    </row>
    <row r="24" spans="1:12" x14ac:dyDescent="0.25">
      <c r="A24" t="s">
        <v>69</v>
      </c>
      <c r="B24" t="s">
        <v>66</v>
      </c>
      <c r="C24" t="s">
        <v>84</v>
      </c>
      <c r="D24" t="s">
        <v>21</v>
      </c>
      <c r="E24" t="s">
        <v>43</v>
      </c>
      <c r="F24" t="s">
        <v>50</v>
      </c>
      <c r="G24" t="s">
        <v>42</v>
      </c>
      <c r="L24" t="str">
        <f>"CALL "&amp;C24&amp;"("&amp;L15&amp;","&amp;"'"&amp;F24&amp;"'"&amp;");"</f>
        <v>CALL setTitleStep(getStepId(getTaskId(getListId(getUserId('test1@test.fr'),'Liste1'),'Tache1'),'Step1'),'Step1');</v>
      </c>
    </row>
    <row r="25" spans="1:12" x14ac:dyDescent="0.25">
      <c r="A25" t="s">
        <v>69</v>
      </c>
      <c r="B25" t="s">
        <v>66</v>
      </c>
      <c r="C25" t="s">
        <v>85</v>
      </c>
      <c r="D25" t="s">
        <v>21</v>
      </c>
      <c r="E25" t="s">
        <v>43</v>
      </c>
      <c r="F25" t="s">
        <v>88</v>
      </c>
      <c r="G25" t="s">
        <v>42</v>
      </c>
      <c r="L25" t="str">
        <f>"CALL " &amp;C25&amp;"("&amp;L15&amp;","&amp;"'"&amp;F25&amp;"'"&amp;");"</f>
        <v>CALL setDescriptionStep(getStepId(getTaskId(getListId(getUserId('test1@test.fr'),'Liste1'),'Tache1'),'Step1'),'ZEOFHJQOLZERHFBQSLIZEH FQLEZQEHZF OHFK?W S ORGFMQOZ EFOQZEF DJQZEFMO JQZEMOFKJ QZOEFJQMOZEF QZEF QZEFOQEMN JLQKNDQNOQEZFOIHEZJFOQHEFQE FMOQJEZF OQEZJFOQIZ QE OQJ EZFOIJQ LOJQL KJEJJNE  QNE FOMQEZ  QNE F');</v>
      </c>
    </row>
    <row r="26" spans="1:12" x14ac:dyDescent="0.25">
      <c r="A26" t="s">
        <v>90</v>
      </c>
      <c r="B26" t="s">
        <v>67</v>
      </c>
      <c r="C26" t="s">
        <v>91</v>
      </c>
      <c r="D26" t="s">
        <v>28</v>
      </c>
      <c r="E26" t="s">
        <v>43</v>
      </c>
      <c r="L26" t="str">
        <f>"CALL " &amp; C26&amp;"("&amp;L12&amp;");"</f>
        <v>CALL deleteUser(getUserId('test1@test.fr'));</v>
      </c>
    </row>
    <row r="27" spans="1:12" x14ac:dyDescent="0.25">
      <c r="A27" t="s">
        <v>90</v>
      </c>
      <c r="B27" t="s">
        <v>64</v>
      </c>
      <c r="C27" t="s">
        <v>106</v>
      </c>
      <c r="D27" t="s">
        <v>29</v>
      </c>
      <c r="E27" t="s">
        <v>43</v>
      </c>
      <c r="L27" t="str">
        <f>"CALL "&amp;C27&amp;"("&amp;L13&amp;");"</f>
        <v>CALL deleteList(getListId(getUserId('test1@test.fr'),'Liste1'));</v>
      </c>
    </row>
    <row r="28" spans="1:12" x14ac:dyDescent="0.25">
      <c r="A28" t="s">
        <v>90</v>
      </c>
      <c r="B28" t="s">
        <v>65</v>
      </c>
      <c r="C28" t="s">
        <v>107</v>
      </c>
      <c r="D28" t="s">
        <v>11</v>
      </c>
      <c r="E28" t="s">
        <v>43</v>
      </c>
      <c r="L28" t="str">
        <f>"CALL "&amp;C28&amp;"("&amp;L14&amp;");"</f>
        <v>CALL deleteTask(getTaskId(getListId(getUserId('test1@test.fr'),'Liste1'),'Tache1'));</v>
      </c>
    </row>
    <row r="29" spans="1:12" x14ac:dyDescent="0.25">
      <c r="A29" t="s">
        <v>90</v>
      </c>
      <c r="B29" t="s">
        <v>66</v>
      </c>
      <c r="C29" t="s">
        <v>108</v>
      </c>
      <c r="D29" t="s">
        <v>21</v>
      </c>
      <c r="E29" t="s">
        <v>43</v>
      </c>
      <c r="L29" t="str">
        <f>"CALL "&amp;C29&amp;"("&amp;L15&amp;");"</f>
        <v>CALL deleteStep(getStepId(getTaskId(getListId(getUserId('test1@test.fr'),'Liste1'),'Tache1'),'Step1'));</v>
      </c>
    </row>
    <row r="30" spans="1:12" s="5" customFormat="1" x14ac:dyDescent="0.25">
      <c r="A30" s="5" t="s">
        <v>70</v>
      </c>
      <c r="B30" s="5" t="s">
        <v>64</v>
      </c>
      <c r="C30" s="5" t="s">
        <v>112</v>
      </c>
      <c r="D30" s="5" t="s">
        <v>14</v>
      </c>
      <c r="E30" t="s">
        <v>43</v>
      </c>
      <c r="L30" s="5" t="str">
        <f>"SELECT " &amp; C30 &amp; "(" &amp; L12 &amp; ");"</f>
        <v>SELECT getUserLists(getUserId('test1@test.fr'));</v>
      </c>
    </row>
    <row r="31" spans="1:12" s="5" customFormat="1" x14ac:dyDescent="0.25">
      <c r="A31" s="5" t="s">
        <v>70</v>
      </c>
      <c r="B31" s="5" t="s">
        <v>65</v>
      </c>
      <c r="C31" s="5" t="s">
        <v>116</v>
      </c>
      <c r="D31" s="5" t="s">
        <v>17</v>
      </c>
      <c r="E31" t="s">
        <v>43</v>
      </c>
      <c r="L31" s="5" t="str">
        <f>"SELECT " &amp;C31 &amp; "(" &amp; L13 &amp; ");"</f>
        <v>SELECT getListTasks(getListId(getUserId('test1@test.fr'),'Liste1'));</v>
      </c>
    </row>
    <row r="32" spans="1:12" s="5" customFormat="1" x14ac:dyDescent="0.25">
      <c r="A32" s="5" t="s">
        <v>70</v>
      </c>
      <c r="B32" t="s">
        <v>66</v>
      </c>
      <c r="C32" s="5" t="s">
        <v>120</v>
      </c>
      <c r="D32" s="5" t="s">
        <v>19</v>
      </c>
      <c r="E32" t="s">
        <v>43</v>
      </c>
      <c r="L32" s="5" t="str">
        <f>"SELECT " &amp;C32 &amp; "(" &amp; L14 &amp; ");"</f>
        <v>SELECT getTaskSteps(getTaskId(getListId(getUserId('test1@test.fr'),'Liste1'),'Tache1'));</v>
      </c>
    </row>
  </sheetData>
  <hyperlinks>
    <hyperlink ref="D8" r:id="rId1" display="test1@test.fr" xr:uid="{4D316E90-0337-4E84-BD95-E7B15C383193}"/>
    <hyperlink ref="F8" r:id="rId2" xr:uid="{9A6F8B99-FDB0-4BB2-A210-79D7C5EFB88B}"/>
    <hyperlink ref="D12" r:id="rId3" xr:uid="{9D836C88-A5BF-4305-BAE4-2CCA7D7A5D43}"/>
  </hyperlinks>
  <pageMargins left="0.7" right="0.7" top="0.75" bottom="0.75" header="0.3" footer="0.3"/>
  <ignoredErrors>
    <ignoredError sqref="L4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BFBB53-C80D-4549-8956-02ACD9B1AA8C}">
  <sheetPr codeName="Feuil1"/>
  <dimension ref="A1:B36"/>
  <sheetViews>
    <sheetView tabSelected="1" topLeftCell="A7" workbookViewId="0">
      <selection activeCell="B23" sqref="B23"/>
    </sheetView>
  </sheetViews>
  <sheetFormatPr baseColWidth="10" defaultRowHeight="15" x14ac:dyDescent="0.25"/>
  <cols>
    <col min="2" max="2" width="95.5703125" bestFit="1" customWidth="1"/>
  </cols>
  <sheetData>
    <row r="1" spans="1:2" x14ac:dyDescent="0.25">
      <c r="A1">
        <f>ROW(B1)</f>
        <v>1</v>
      </c>
      <c r="B1" t="s">
        <v>115</v>
      </c>
    </row>
    <row r="2" spans="1:2" x14ac:dyDescent="0.25">
      <c r="A2">
        <f t="shared" ref="A2:A36" si="0">ROW(B2)</f>
        <v>2</v>
      </c>
      <c r="B2" t="s">
        <v>95</v>
      </c>
    </row>
    <row r="3" spans="1:2" x14ac:dyDescent="0.25">
      <c r="A3">
        <f t="shared" si="0"/>
        <v>3</v>
      </c>
      <c r="B3" t="s">
        <v>96</v>
      </c>
    </row>
    <row r="4" spans="1:2" x14ac:dyDescent="0.25">
      <c r="A4">
        <f t="shared" si="0"/>
        <v>4</v>
      </c>
      <c r="B4" t="s">
        <v>97</v>
      </c>
    </row>
    <row r="5" spans="1:2" x14ac:dyDescent="0.25">
      <c r="A5">
        <f t="shared" si="0"/>
        <v>5</v>
      </c>
      <c r="B5" t="s">
        <v>98</v>
      </c>
    </row>
    <row r="6" spans="1:2" x14ac:dyDescent="0.25">
      <c r="A6">
        <f t="shared" si="0"/>
        <v>6</v>
      </c>
      <c r="B6" t="s">
        <v>99</v>
      </c>
    </row>
    <row r="7" spans="1:2" x14ac:dyDescent="0.25">
      <c r="A7">
        <f t="shared" si="0"/>
        <v>7</v>
      </c>
      <c r="B7" t="s">
        <v>51</v>
      </c>
    </row>
    <row r="8" spans="1:2" x14ac:dyDescent="0.25">
      <c r="A8">
        <f t="shared" si="0"/>
        <v>8</v>
      </c>
      <c r="B8" t="s">
        <v>52</v>
      </c>
    </row>
    <row r="9" spans="1:2" x14ac:dyDescent="0.25">
      <c r="A9">
        <f t="shared" si="0"/>
        <v>9</v>
      </c>
      <c r="B9" t="s">
        <v>54</v>
      </c>
    </row>
    <row r="10" spans="1:2" x14ac:dyDescent="0.25">
      <c r="A10">
        <f t="shared" si="0"/>
        <v>10</v>
      </c>
      <c r="B10" t="s">
        <v>55</v>
      </c>
    </row>
    <row r="11" spans="1:2" x14ac:dyDescent="0.25">
      <c r="A11">
        <f t="shared" si="0"/>
        <v>11</v>
      </c>
      <c r="B11" t="s">
        <v>56</v>
      </c>
    </row>
    <row r="12" spans="1:2" x14ac:dyDescent="0.25">
      <c r="A12">
        <f t="shared" si="0"/>
        <v>12</v>
      </c>
      <c r="B12" t="s">
        <v>57</v>
      </c>
    </row>
    <row r="13" spans="1:2" x14ac:dyDescent="0.25">
      <c r="A13">
        <f t="shared" si="0"/>
        <v>13</v>
      </c>
      <c r="B13" t="s">
        <v>58</v>
      </c>
    </row>
    <row r="14" spans="1:2" x14ac:dyDescent="0.25">
      <c r="A14">
        <f t="shared" si="0"/>
        <v>14</v>
      </c>
      <c r="B14" t="s">
        <v>100</v>
      </c>
    </row>
    <row r="15" spans="1:2" x14ac:dyDescent="0.25">
      <c r="A15">
        <f t="shared" si="0"/>
        <v>15</v>
      </c>
      <c r="B15" t="s">
        <v>60</v>
      </c>
    </row>
    <row r="16" spans="1:2" x14ac:dyDescent="0.25">
      <c r="A16">
        <f t="shared" si="0"/>
        <v>16</v>
      </c>
      <c r="B16" t="s">
        <v>61</v>
      </c>
    </row>
    <row r="17" spans="1:2" x14ac:dyDescent="0.25">
      <c r="A17">
        <f t="shared" si="0"/>
        <v>17</v>
      </c>
      <c r="B17" t="s">
        <v>62</v>
      </c>
    </row>
    <row r="18" spans="1:2" x14ac:dyDescent="0.25">
      <c r="A18">
        <f t="shared" si="0"/>
        <v>18</v>
      </c>
      <c r="B18" t="s">
        <v>114</v>
      </c>
    </row>
    <row r="19" spans="1:2" x14ac:dyDescent="0.25">
      <c r="A19">
        <f t="shared" si="0"/>
        <v>19</v>
      </c>
      <c r="B19" t="s">
        <v>101</v>
      </c>
    </row>
    <row r="20" spans="1:2" x14ac:dyDescent="0.25">
      <c r="A20">
        <f t="shared" si="0"/>
        <v>20</v>
      </c>
      <c r="B20" t="s">
        <v>102</v>
      </c>
    </row>
    <row r="21" spans="1:2" x14ac:dyDescent="0.25">
      <c r="A21">
        <f t="shared" si="0"/>
        <v>21</v>
      </c>
      <c r="B21" t="s">
        <v>103</v>
      </c>
    </row>
    <row r="22" spans="1:2" x14ac:dyDescent="0.25">
      <c r="A22">
        <f t="shared" si="0"/>
        <v>22</v>
      </c>
      <c r="B22" t="s">
        <v>104</v>
      </c>
    </row>
    <row r="23" spans="1:2" x14ac:dyDescent="0.25">
      <c r="A23">
        <f t="shared" si="0"/>
        <v>23</v>
      </c>
      <c r="B23" t="s">
        <v>105</v>
      </c>
    </row>
    <row r="24" spans="1:2" x14ac:dyDescent="0.25">
      <c r="A24">
        <f t="shared" si="0"/>
        <v>24</v>
      </c>
      <c r="B24" t="s">
        <v>77</v>
      </c>
    </row>
    <row r="25" spans="1:2" x14ac:dyDescent="0.25">
      <c r="A25">
        <f t="shared" si="0"/>
        <v>25</v>
      </c>
      <c r="B25" t="s">
        <v>80</v>
      </c>
    </row>
    <row r="26" spans="1:2" x14ac:dyDescent="0.25">
      <c r="A26">
        <f t="shared" si="0"/>
        <v>26</v>
      </c>
      <c r="B26" t="s">
        <v>83</v>
      </c>
    </row>
    <row r="27" spans="1:2" x14ac:dyDescent="0.25">
      <c r="A27">
        <f t="shared" si="0"/>
        <v>27</v>
      </c>
      <c r="B27" t="s">
        <v>86</v>
      </c>
    </row>
    <row r="28" spans="1:2" x14ac:dyDescent="0.25">
      <c r="A28">
        <f t="shared" si="0"/>
        <v>28</v>
      </c>
      <c r="B28" t="s">
        <v>87</v>
      </c>
    </row>
    <row r="29" spans="1:2" x14ac:dyDescent="0.25">
      <c r="A29">
        <f t="shared" si="0"/>
        <v>29</v>
      </c>
      <c r="B29" t="s">
        <v>89</v>
      </c>
    </row>
    <row r="30" spans="1:2" x14ac:dyDescent="0.25">
      <c r="A30">
        <f t="shared" si="0"/>
        <v>30</v>
      </c>
      <c r="B30" t="s">
        <v>92</v>
      </c>
    </row>
    <row r="31" spans="1:2" x14ac:dyDescent="0.25">
      <c r="A31">
        <f t="shared" si="0"/>
        <v>31</v>
      </c>
      <c r="B31" t="s">
        <v>109</v>
      </c>
    </row>
    <row r="32" spans="1:2" x14ac:dyDescent="0.25">
      <c r="A32">
        <f t="shared" si="0"/>
        <v>32</v>
      </c>
      <c r="B32" t="s">
        <v>110</v>
      </c>
    </row>
    <row r="33" spans="1:2" x14ac:dyDescent="0.25">
      <c r="A33">
        <f t="shared" si="0"/>
        <v>33</v>
      </c>
      <c r="B33" t="s">
        <v>111</v>
      </c>
    </row>
    <row r="34" spans="1:2" x14ac:dyDescent="0.25">
      <c r="A34">
        <f t="shared" si="0"/>
        <v>34</v>
      </c>
      <c r="B34" t="s">
        <v>113</v>
      </c>
    </row>
    <row r="35" spans="1:2" x14ac:dyDescent="0.25">
      <c r="A35">
        <f t="shared" si="0"/>
        <v>35</v>
      </c>
      <c r="B35" t="s">
        <v>119</v>
      </c>
    </row>
    <row r="36" spans="1:2" x14ac:dyDescent="0.25">
      <c r="A36">
        <f t="shared" si="0"/>
        <v>36</v>
      </c>
      <c r="B36" t="s">
        <v>121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Fonctions &amp; Procédures</vt:lpstr>
      <vt:lpstr>Fonctions &amp; Procédures Tests</vt:lpstr>
      <vt:lpstr>SCRIPTS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Romain &amp; Lydiane</dc:creator>
  <cp:lastModifiedBy>Romain &amp; Lydiane</cp:lastModifiedBy>
  <dcterms:created xsi:type="dcterms:W3CDTF">2021-03-31T10:32:16Z</dcterms:created>
  <dcterms:modified xsi:type="dcterms:W3CDTF">2021-04-01T09:48:29Z</dcterms:modified>
</cp:coreProperties>
</file>